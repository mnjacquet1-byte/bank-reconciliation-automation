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njac\OneDrive\Escritorio\"/>
    </mc:Choice>
  </mc:AlternateContent>
  <xr:revisionPtr revIDLastSave="0" documentId="8_{BEC73EB1-E17A-4F5D-A9F6-A0404F9E855C}" xr6:coauthVersionLast="47" xr6:coauthVersionMax="47" xr10:uidLastSave="{00000000-0000-0000-0000-000000000000}"/>
  <bookViews>
    <workbookView xWindow="-98" yWindow="-98" windowWidth="16395" windowHeight="10996" tabRatio="950" activeTab="2" xr2:uid="{00000000-000D-0000-FFFF-FFFF00000000}"/>
  </bookViews>
  <sheets>
    <sheet name="Entries in GL NOT in Bank" sheetId="7" r:id="rId1"/>
    <sheet name="Entries in Bank NOT in GL" sheetId="3" r:id="rId2"/>
    <sheet name="Bank_reconciliation " sheetId="8" r:id="rId3"/>
    <sheet name="GL — Acc. 572" sheetId="2" r:id="rId4"/>
    <sheet name="Bank Statement" sheetId="1" r:id="rId5"/>
  </sheets>
  <definedNames>
    <definedName name="ExternalData_1" localSheetId="1" hidden="1">'Entries in Bank NOT in GL'!$A$1:$F$3</definedName>
    <definedName name="ExternalData_4" localSheetId="0" hidden="1">'Entries in GL NOT in Bank'!$A$1:$F$3</definedName>
    <definedName name="ExternalData_5" localSheetId="2" hidden="1">'Bank_reconciliation '!$A$1:$E$5</definedName>
  </definedNames>
  <calcPr calcId="191029" iterateDelta="1E-4"/>
  <extLst>
    <ext xmlns:x15="http://schemas.microsoft.com/office/spreadsheetml/2010/11/main" uri="{FCE2AD5D-F65C-4FA6-A056-5C36A1767C68}">
      <x15:dataModel>
        <x15:modelTables>
          <x15:modelTable id="Bank_0c84d60f-ff1b-484d-90ed-a8c82bb4e5b3" name="Bank" connection="Query - Bank"/>
          <x15:modelTable id="GL_5ebe2f0f-8592-446a-8ab5-9c950998e502" name="GL" connection="Query - G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2" l="1"/>
  <c r="F9" i="2" s="1"/>
  <c r="F10" i="2" s="1"/>
  <c r="F11" i="2" s="1"/>
  <c r="F12" i="2" s="1"/>
  <c r="F13" i="2" s="1"/>
  <c r="F14" i="2" s="1"/>
  <c r="F15" i="2" s="1"/>
  <c r="F16" i="2" s="1"/>
  <c r="F7" i="2"/>
  <c r="E7" i="1"/>
  <c r="E8" i="1" s="1"/>
  <c r="E9" i="1" s="1"/>
  <c r="E10" i="1" s="1"/>
  <c r="E11" i="1" s="1"/>
  <c r="E12" i="1" s="1"/>
  <c r="E13" i="1" s="1"/>
  <c r="E14" i="1" s="1"/>
  <c r="E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64BDD-5441-4026-ABBA-214794555895}" name="Query - Bank" description="Connection to the 'Bank' query in the workbook." type="100" refreshedVersion="8" minRefreshableVersion="5">
    <extLst>
      <ext xmlns:x15="http://schemas.microsoft.com/office/spreadsheetml/2010/11/main" uri="{DE250136-89BD-433C-8126-D09CA5730AF9}">
        <x15:connection id="14d03b7a-3687-4e69-931a-13e6def79e98"/>
      </ext>
    </extLst>
  </connection>
  <connection id="2" xr16:uid="{B11E9BEA-A010-4A4B-93A2-C8B934D841B8}" keepAlive="1" name="Query - Bank_reconciliation" description="Connection to the 'Bank_reconciliation' query in the workbook." type="5" refreshedVersion="0" background="1">
    <dbPr connection="Provider=Microsoft.Mashup.OleDb.1;Data Source=$Workbook$;Location=Bank_reconciliation;Extended Properties=&quot;&quot;" command="SELECT * FROM [Bank_reconciliation]"/>
  </connection>
  <connection id="3" xr16:uid="{3C8FE8D3-A383-497A-8317-DAABDC1C5003}" keepAlive="1" name="Query - Bank_reconciliation1" description="Connection to the 'Bank_reconciliation' query in the workbook." type="5" refreshedVersion="8" background="1" saveData="1">
    <dbPr connection="Provider=Microsoft.Mashup.OleDb.1;Data Source=$Workbook$;Location=Bank_reconciliation;Extended Properties=&quot;&quot;" command="SELECT * FROM [Bank_reconciliation]"/>
  </connection>
  <connection id="4" xr16:uid="{3B8C0CA8-FB20-47E2-B542-5480DA5B2756}" keepAlive="1" name="Query - Entries in Bank NOT in GL" description="Connection to the 'Entries in Bank NOT in GL' query in the workbook." type="5" refreshedVersion="0" background="1">
    <dbPr connection="Provider=Microsoft.Mashup.OleDb.1;Data Source=$Workbook$;Location=&quot;Entries in Bank NOT in GL&quot;;Extended Properties=&quot;&quot;" command="SELECT * FROM [Entries in Bank NOT in GL]"/>
  </connection>
  <connection id="5" xr16:uid="{4EE6E08E-771D-4B77-9994-61AC36E24D54}" keepAlive="1" name="Query - Entries in Bank NOT in GL1" description="Connection to the 'Entries in Bank NOT in GL' query in the workbook." type="5" refreshedVersion="8" background="1" saveData="1">
    <dbPr connection="Provider=Microsoft.Mashup.OleDb.1;Data Source=$Workbook$;Location=&quot;Entries in Bank NOT in GL&quot;;Extended Properties=&quot;&quot;" command="SELECT * FROM [Entries in Bank NOT in GL]"/>
  </connection>
  <connection id="6" xr16:uid="{F395AB0A-FCE9-4838-8257-F52B2DFE9EA3}" keepAlive="1" name="Query - Entries in GL NOT in Bank" description="Connection to the 'Entries in GL NOT in Bank' query in the workbook." type="5" refreshedVersion="0" background="1">
    <dbPr connection="Provider=Microsoft.Mashup.OleDb.1;Data Source=$Workbook$;Location=&quot;Entries in GL NOT in Bank&quot;;Extended Properties=&quot;&quot;" command="SELECT * FROM [Entries in GL NOT in Bank]"/>
  </connection>
  <connection id="7" xr16:uid="{CC75CA32-526D-4EB4-B675-3ABA5A30BD16}" keepAlive="1" name="Query - Entries in GL NOT in Bank1" description="Connection to the 'Entries in GL NOT in Bank' query in the workbook." type="5" refreshedVersion="8" background="1" saveData="1">
    <dbPr connection="Provider=Microsoft.Mashup.OleDb.1;Data Source=$Workbook$;Location=&quot;Entries in GL NOT in Bank&quot;;Extended Properties=&quot;&quot;" command="SELECT * FROM [Entries in GL NOT in Bank]"/>
  </connection>
  <connection id="8" xr16:uid="{7B8B6102-863B-4BDF-8A38-3BF46C4AB7CC}" name="Query - GL" description="Connection to the 'GL' query in the workbook." type="100" refreshedVersion="8" minRefreshableVersion="5">
    <extLst>
      <ext xmlns:x15="http://schemas.microsoft.com/office/spreadsheetml/2010/11/main" uri="{DE250136-89BD-433C-8126-D09CA5730AF9}">
        <x15:connection id="3a75e107-32c9-4ff2-9df4-5cd705f5aa99"/>
      </ext>
    </extLst>
  </connection>
  <connection id="9" xr16:uid="{ED5CD60A-F333-4C7F-92C6-5B92097D73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<sst xmlns="http://schemas.openxmlformats.org/spreadsheetml/2006/main" count="103" uniqueCount="73">
  <si>
    <t>BANCO SANTANDER — ACCOUNT STATEMENT</t>
  </si>
  <si>
    <t>Account: ES12 0049 0001 5012 3456 7890</t>
  </si>
  <si>
    <t>Period: 01/04/2025 - 30/04/2025  |  Currency: EUR</t>
  </si>
  <si>
    <t>Accounting Date</t>
  </si>
  <si>
    <t>Value Date</t>
  </si>
  <si>
    <t>Description</t>
  </si>
  <si>
    <t>Amount (€)</t>
  </si>
  <si>
    <t>Balance (€)</t>
  </si>
  <si>
    <t>01/04/2025</t>
  </si>
  <si>
    <t>Opening Balance</t>
  </si>
  <si>
    <t>03/04/2025</t>
  </si>
  <si>
    <t xml:space="preserve">  Customer Payment - INV101 </t>
  </si>
  <si>
    <t>05/04/2025</t>
  </si>
  <si>
    <t>Office Rent April</t>
  </si>
  <si>
    <t>08/04/2025</t>
  </si>
  <si>
    <t xml:space="preserve"> Customer Payment - INV102</t>
  </si>
  <si>
    <t>10/04/2025</t>
  </si>
  <si>
    <t xml:space="preserve">Supplier Payment SUP01  </t>
  </si>
  <si>
    <t>12/04/2025</t>
  </si>
  <si>
    <t>13/04/2025</t>
  </si>
  <si>
    <t>Bank Maintenance Fee</t>
  </si>
  <si>
    <t>15/04/2025</t>
  </si>
  <si>
    <t>Customer Payment - INV103</t>
  </si>
  <si>
    <t>18/04/2025</t>
  </si>
  <si>
    <t>Payroll Transfer April</t>
  </si>
  <si>
    <t>22/04/2025</t>
  </si>
  <si>
    <t>23/04/2025</t>
  </si>
  <si>
    <t>Customer Payment - INV104</t>
  </si>
  <si>
    <t>28/04/2025</t>
  </si>
  <si>
    <t>Utility Bill Electricity</t>
  </si>
  <si>
    <t>GENERAL LEDGER — Account 572 Cash at Bank</t>
  </si>
  <si>
    <t>Exported from: SAGE — 30/04/2025</t>
  </si>
  <si>
    <t>Date</t>
  </si>
  <si>
    <t>Journal No.</t>
  </si>
  <si>
    <t>Debit (€)</t>
  </si>
  <si>
    <t>Credit (€)</t>
  </si>
  <si>
    <t>2025-04-01</t>
  </si>
  <si>
    <t>JNL-001</t>
  </si>
  <si>
    <t>2025-04-03</t>
  </si>
  <si>
    <t>JNL-002</t>
  </si>
  <si>
    <t>Customer Receipt INV101</t>
  </si>
  <si>
    <t>2025-04-05</t>
  </si>
  <si>
    <t>JNL-003</t>
  </si>
  <si>
    <t>Rent Expense April</t>
  </si>
  <si>
    <t>2025-04-08</t>
  </si>
  <si>
    <t>JNL-004</t>
  </si>
  <si>
    <t>Customer Receipt INV102</t>
  </si>
  <si>
    <t>2025-04-10</t>
  </si>
  <si>
    <t>JNL-005</t>
  </si>
  <si>
    <t>Supplier Payment SUP01</t>
  </si>
  <si>
    <t>2025-04-12</t>
  </si>
  <si>
    <t>JNL-006</t>
  </si>
  <si>
    <t>2025-04-15</t>
  </si>
  <si>
    <t>JNL-007</t>
  </si>
  <si>
    <t>Customer Receipt INV103</t>
  </si>
  <si>
    <t>2025-04-18</t>
  </si>
  <si>
    <t>JNL-008</t>
  </si>
  <si>
    <t>Payroll April</t>
  </si>
  <si>
    <t>2025-04-22</t>
  </si>
  <si>
    <t>JNL-009</t>
  </si>
  <si>
    <t>Customer Receipt INV104</t>
  </si>
  <si>
    <t>2025-04-28</t>
  </si>
  <si>
    <t>JNL-010</t>
  </si>
  <si>
    <t>CLOSING BALANCE 30/04/2025</t>
  </si>
  <si>
    <t>Company: SACIN S.L.  |  Period: April 2025  |  Currency: EUR</t>
  </si>
  <si>
    <t>GL_Balance</t>
  </si>
  <si>
    <t>Bank.Accounting Date</t>
  </si>
  <si>
    <t>Bank.Description</t>
  </si>
  <si>
    <t>Bank.Amount (€)</t>
  </si>
  <si>
    <t>GL.Date</t>
  </si>
  <si>
    <t>GL.Description</t>
  </si>
  <si>
    <t>GL.GL_Balance</t>
  </si>
  <si>
    <t>Customer Payment - INV101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</si>
</sst>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(#,##0.00\);\-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4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4" fontId="4" fillId="3" borderId="2" xfId="0" applyNumberFormat="1" applyFont="1" applyFill="1" applyBorder="1" applyAlignment="1">
      <alignment horizontal="left" vertical="center"/>
    </xf>
    <xf numFmtId="14" fontId="4" fillId="4" borderId="2" xfId="0" applyNumberFormat="1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right" vertical="center"/>
    </xf>
    <xf numFmtId="164" fontId="4" fillId="4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left" vertical="center"/>
    </xf>
    <xf numFmtId="14" fontId="4" fillId="4" borderId="8" xfId="0" applyNumberFormat="1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164" fontId="4" fillId="4" borderId="8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164" fontId="4" fillId="5" borderId="8" xfId="0" applyNumberFormat="1" applyFont="1" applyFill="1" applyBorder="1" applyAlignment="1">
      <alignment horizontal="right" vertical="center"/>
    </xf>
    <xf numFmtId="164" fontId="4" fillId="5" borderId="9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.00;\(#,##0.00\);\-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.00;\(#,##0.00\);\-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12CAB6AB-8F1D-411A-A0B9-7142DEF84DE9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CE0C37DA-714C-4911-BB27-EEF411CA562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escription" tableColumnId="2"/>
      <queryTableField id="3" name="GL_Balance" tableColumnId="3"/>
      <queryTableField id="4" name="Bank.Accounting Date" tableColumnId="4"/>
      <queryTableField id="5" name="Bank.Description" tableColumnId="5"/>
      <queryTableField id="6" name="Bank.Amount (€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EB2A243-8C6C-4D9E-B31F-F2A3AEC8710B}" autoFormatId="16" applyNumberFormats="0" applyBorderFormats="0" applyFontFormats="0" applyPatternFormats="0" applyAlignmentFormats="0" applyWidthHeightFormats="0">
  <queryTableRefresh nextId="7">
    <queryTableFields count="6">
      <queryTableField id="1" name="Accounting Date" tableColumnId="1"/>
      <queryTableField id="2" name="Description" tableColumnId="2"/>
      <queryTableField id="3" name="Amount (€)" tableColumnId="3"/>
      <queryTableField id="4" name="GL.Date" tableColumnId="4"/>
      <queryTableField id="5" name="GL.Description" tableColumnId="5"/>
      <queryTableField id="6" name="GL.GL_Balan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FAF2E4FE-5065-427F-B3C5-F5C3EEE8947B}" autoFormatId="16" applyNumberFormats="0" applyBorderFormats="0" applyFontFormats="0" applyPatternFormats="0" applyAlignmentFormats="0" applyWidthHeightFormats="0">
  <queryTableRefresh nextId="6">
    <queryTableFields count="5">
      <queryTableField id="1" name="Accounting Date" tableColumnId="1"/>
      <queryTableField id="2" name="Description" tableColumnId="2"/>
      <queryTableField id="3" name="Amount (€)" tableColumnId="3"/>
      <queryTableField id="4" name="Date" tableColumnId="4"/>
      <queryTableField id="5" name="GL_Bala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F0C77-6FD7-49E8-A790-52F594B14897}" name="Entries_in_GL_NOT_in_Bank" displayName="Entries_in_GL_NOT_in_Bank" ref="A1:F3" tableType="queryTable" totalsRowShown="0">
  <autoFilter ref="A1:F3" xr:uid="{8D6F0C77-6FD7-49E8-A790-52F594B14897}"/>
  <tableColumns count="6">
    <tableColumn id="1" xr3:uid="{2EEF55EE-DED0-4B65-8D37-8A0C63CE06BD}" uniqueName="1" name="Date" queryTableFieldId="1" dataDxfId="19"/>
    <tableColumn id="2" xr3:uid="{E5F6151D-A15A-4D6E-9EAD-61E949BCF0B3}" uniqueName="2" name="Description" queryTableFieldId="2" dataDxfId="18"/>
    <tableColumn id="3" xr3:uid="{5F1A35ED-760E-4CEB-8AB5-C7B9109E9328}" uniqueName="3" name="GL_Balance" queryTableFieldId="3"/>
    <tableColumn id="4" xr3:uid="{C4F79F91-B0B4-4729-8BF5-640095129AE7}" uniqueName="4" name="Bank.Accounting Date" queryTableFieldId="4" dataDxfId="17"/>
    <tableColumn id="5" xr3:uid="{77B6014C-4D4A-4B6A-8F64-B65B92916144}" uniqueName="5" name="Bank.Description" queryTableFieldId="5" dataDxfId="16"/>
    <tableColumn id="6" xr3:uid="{13F90694-241A-42A7-A6F3-D16003A5D59D}" uniqueName="6" name="Bank.Amount (€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72F2F7-C7CA-4994-9B52-B9DE901DCCA0}" name="Entries_in_Bank_NOT_in_GL" displayName="Entries_in_Bank_NOT_in_GL" ref="A1:F3" tableType="queryTable" totalsRowShown="0">
  <autoFilter ref="A1:F3" xr:uid="{4B72F2F7-C7CA-4994-9B52-B9DE901DCCA0}"/>
  <tableColumns count="6">
    <tableColumn id="1" xr3:uid="{D92167A7-0024-43FC-9767-4A482E2B57E2}" uniqueName="1" name="Accounting Date" queryTableFieldId="1" dataDxfId="23"/>
    <tableColumn id="2" xr3:uid="{31C2DB1A-91DA-4014-9871-A91979A2E96F}" uniqueName="2" name="Description" queryTableFieldId="2" dataDxfId="22"/>
    <tableColumn id="3" xr3:uid="{733BA5FA-815A-41E2-BDDE-90BF598173DC}" uniqueName="3" name="Amount (€)" queryTableFieldId="3"/>
    <tableColumn id="4" xr3:uid="{D3FAF400-60FC-4BDD-BF7E-080629B42979}" uniqueName="4" name="GL.Date" queryTableFieldId="4" dataDxfId="21"/>
    <tableColumn id="5" xr3:uid="{7EF3167A-C7CD-4655-92D2-A14814BDB1EB}" uniqueName="5" name="GL.Description" queryTableFieldId="5" dataDxfId="20"/>
    <tableColumn id="6" xr3:uid="{0D3AACF8-6263-4CD0-BF06-FD577FD1C907}" uniqueName="6" name="GL.GL_Balan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2AE881-A274-4314-85C7-E92F1140532A}" name="Bank_reconciliation" displayName="Bank_reconciliation" ref="A1:E5" tableType="queryTable" totalsRowShown="0">
  <autoFilter ref="A1:E5" xr:uid="{B32AE881-A274-4314-85C7-E92F1140532A}"/>
  <tableColumns count="5">
    <tableColumn id="1" xr3:uid="{AF721CC4-87B2-44CD-9D2C-A7F20B7DFE90}" uniqueName="1" name="Accounting Date" queryTableFieldId="1" dataDxfId="15"/>
    <tableColumn id="2" xr3:uid="{52ECC1E3-A19A-497A-A82A-171B97530935}" uniqueName="2" name="Description" queryTableFieldId="2" dataDxfId="14"/>
    <tableColumn id="3" xr3:uid="{3FE2A1C8-1B70-4CEA-8073-6067338BB3AE}" uniqueName="3" name="Amount (€)" queryTableFieldId="3"/>
    <tableColumn id="4" xr3:uid="{39C3777A-D160-422E-A321-A6279F2FB297}" uniqueName="4" name="Date" queryTableFieldId="4" dataDxfId="13"/>
    <tableColumn id="5" xr3:uid="{E7E7101F-380E-4FC2-BD5D-7B69DB782044}" uniqueName="5" name="GL_Balan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AF34D-7334-4B7D-89A2-473BC30A8DD5}" name="Table2" displayName="Table2" ref="A5:F16" totalsRowShown="0" headerRowDxfId="12" headerRowBorderDxfId="11" tableBorderDxfId="10" totalsRowBorderDxfId="9">
  <autoFilter ref="A5:F16" xr:uid="{E05AF34D-7334-4B7D-89A2-473BC30A8DD5}"/>
  <tableColumns count="6">
    <tableColumn id="1" xr3:uid="{41CB8DF8-25A8-4BB3-AFCA-56E331D15A7C}" name="Date"/>
    <tableColumn id="2" xr3:uid="{23D29520-72E5-4ABB-9243-4E59A448A823}" name="Journal No."/>
    <tableColumn id="3" xr3:uid="{050ED986-8770-435A-BAFE-D2B9C453207C}" name="Description"/>
    <tableColumn id="4" xr3:uid="{8D27C504-78D6-4660-B959-C4C4C201B3D7}" name="Debit (€)"/>
    <tableColumn id="5" xr3:uid="{8DD0D6FC-6665-43E8-BF84-E7113F5FA609}" name="Credit (€)"/>
    <tableColumn id="6" xr3:uid="{AD5A0361-1204-4508-9F36-EAD7DF2E3442}" name="Balance (€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BA386-62CE-46A1-8A0E-8FFF6F085781}" name="Table1" displayName="Table1" ref="A5:E15" totalsRowShown="0" headerRowDxfId="8" headerRowBorderDxfId="7" tableBorderDxfId="6" totalsRowBorderDxfId="5">
  <autoFilter ref="A5:E15" xr:uid="{AC8BA386-62CE-46A1-8A0E-8FFF6F085781}"/>
  <tableColumns count="5">
    <tableColumn id="1" xr3:uid="{0B3D0247-9BBE-43F0-AB0E-C46515E8C79E}" name="Accounting Date" dataDxfId="4"/>
    <tableColumn id="2" xr3:uid="{4B7E2F08-62A7-47E5-AFB5-61A680735778}" name="Value Date" dataDxfId="3"/>
    <tableColumn id="3" xr3:uid="{4D1E587F-D8FD-4635-9B1F-A3F145191D45}" name="Description" dataDxfId="2"/>
    <tableColumn id="4" xr3:uid="{903A3EFB-D756-415D-A359-30940DC2F1C6}" name="Amount (€)" dataDxfId="1"/>
    <tableColumn id="5" xr3:uid="{A1EC897B-045B-4F66-9BFA-6ED76702E65D}" name="Balance (€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78D-2BCF-4FC3-B975-DC53019C9E0C}">
  <sheetPr>
    <tabColor rgb="FF00B0F0"/>
  </sheetPr>
  <dimension ref="A1:F3"/>
  <sheetViews>
    <sheetView workbookViewId="0">
      <selection activeCell="G18" sqref="G18"/>
    </sheetView>
  </sheetViews>
  <sheetFormatPr defaultRowHeight="14.25" x14ac:dyDescent="0.45"/>
  <cols>
    <col min="1" max="1" width="10.19921875" bestFit="1" customWidth="1"/>
    <col min="2" max="2" width="21.06640625" bestFit="1" customWidth="1"/>
    <col min="3" max="3" width="12.1328125" bestFit="1" customWidth="1"/>
    <col min="4" max="4" width="21" bestFit="1" customWidth="1"/>
    <col min="5" max="5" width="16.796875" bestFit="1" customWidth="1"/>
    <col min="6" max="6" width="16.86328125" bestFit="1" customWidth="1"/>
  </cols>
  <sheetData>
    <row r="1" spans="1:6" x14ac:dyDescent="0.45">
      <c r="A1" t="s">
        <v>32</v>
      </c>
      <c r="B1" t="s">
        <v>5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45">
      <c r="A2" s="27">
        <v>45750</v>
      </c>
      <c r="B2" t="s">
        <v>40</v>
      </c>
      <c r="C2">
        <v>1500</v>
      </c>
      <c r="D2" s="27"/>
    </row>
    <row r="3" spans="1:6" x14ac:dyDescent="0.45">
      <c r="A3" s="27">
        <v>45765</v>
      </c>
      <c r="B3" t="s">
        <v>57</v>
      </c>
      <c r="C3">
        <v>-42000</v>
      </c>
      <c r="D3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19DE-6F6E-4857-A8ED-A6720837B408}">
  <sheetPr>
    <tabColor rgb="FF00B0F0"/>
  </sheetPr>
  <dimension ref="A1:F3"/>
  <sheetViews>
    <sheetView workbookViewId="0">
      <selection activeCell="B9" sqref="B9"/>
    </sheetView>
  </sheetViews>
  <sheetFormatPr defaultRowHeight="14.25" x14ac:dyDescent="0.45"/>
  <cols>
    <col min="1" max="1" width="16.3984375" bestFit="1" customWidth="1"/>
    <col min="2" max="2" width="23.19921875" bestFit="1" customWidth="1"/>
    <col min="3" max="3" width="12.265625" bestFit="1" customWidth="1"/>
    <col min="4" max="4" width="9.265625" bestFit="1" customWidth="1"/>
    <col min="5" max="5" width="14.73046875" bestFit="1" customWidth="1"/>
    <col min="6" max="6" width="14.6640625" bestFit="1" customWidth="1"/>
  </cols>
  <sheetData>
    <row r="1" spans="1:6" x14ac:dyDescent="0.45">
      <c r="A1" t="s">
        <v>3</v>
      </c>
      <c r="B1" t="s">
        <v>5</v>
      </c>
      <c r="C1" t="s">
        <v>6</v>
      </c>
      <c r="D1" t="s">
        <v>69</v>
      </c>
      <c r="E1" t="s">
        <v>70</v>
      </c>
      <c r="F1" t="s">
        <v>71</v>
      </c>
    </row>
    <row r="2" spans="1:6" x14ac:dyDescent="0.45">
      <c r="A2" s="27">
        <v>45750</v>
      </c>
      <c r="B2" t="s">
        <v>72</v>
      </c>
      <c r="C2">
        <v>15000</v>
      </c>
      <c r="D2" s="27"/>
    </row>
    <row r="3" spans="1:6" x14ac:dyDescent="0.45">
      <c r="A3" s="27">
        <v>45765</v>
      </c>
      <c r="B3" t="s">
        <v>24</v>
      </c>
      <c r="C3">
        <v>-4200</v>
      </c>
      <c r="D3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C4A6-66BB-4141-AE5D-364043AAB14A}">
  <sheetPr>
    <tabColor rgb="FF92D050"/>
  </sheetPr>
  <dimension ref="A1:E5"/>
  <sheetViews>
    <sheetView tabSelected="1" workbookViewId="0">
      <selection activeCell="D11" sqref="D11"/>
    </sheetView>
  </sheetViews>
  <sheetFormatPr defaultRowHeight="14.25" x14ac:dyDescent="0.45"/>
  <cols>
    <col min="1" max="1" width="16.3984375" bestFit="1" customWidth="1"/>
    <col min="2" max="2" width="23.19921875" bestFit="1" customWidth="1"/>
    <col min="3" max="3" width="12.265625" bestFit="1" customWidth="1"/>
    <col min="4" max="4" width="10.19921875" bestFit="1" customWidth="1"/>
    <col min="5" max="5" width="12.1328125" bestFit="1" customWidth="1"/>
  </cols>
  <sheetData>
    <row r="1" spans="1:5" x14ac:dyDescent="0.45">
      <c r="A1" t="s">
        <v>3</v>
      </c>
      <c r="B1" t="s">
        <v>5</v>
      </c>
      <c r="C1" t="s">
        <v>6</v>
      </c>
      <c r="D1" t="s">
        <v>32</v>
      </c>
      <c r="E1" t="s">
        <v>65</v>
      </c>
    </row>
    <row r="2" spans="1:5" x14ac:dyDescent="0.45">
      <c r="A2" s="27">
        <v>45750</v>
      </c>
      <c r="B2" t="s">
        <v>72</v>
      </c>
      <c r="C2">
        <v>15000</v>
      </c>
      <c r="D2" s="27"/>
    </row>
    <row r="3" spans="1:5" x14ac:dyDescent="0.45">
      <c r="A3" s="27">
        <v>45765</v>
      </c>
      <c r="B3" t="s">
        <v>24</v>
      </c>
      <c r="C3">
        <v>-4200</v>
      </c>
      <c r="D3" s="27"/>
    </row>
    <row r="4" spans="1:5" x14ac:dyDescent="0.45">
      <c r="A4" s="27"/>
      <c r="B4" t="s">
        <v>40</v>
      </c>
      <c r="D4" s="27">
        <v>45750</v>
      </c>
      <c r="E4">
        <v>1500</v>
      </c>
    </row>
    <row r="5" spans="1:5" x14ac:dyDescent="0.45">
      <c r="A5" s="27"/>
      <c r="B5" t="s">
        <v>57</v>
      </c>
      <c r="D5" s="27">
        <v>45765</v>
      </c>
      <c r="E5">
        <v>-42000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16"/>
  <sheetViews>
    <sheetView zoomScaleNormal="100" workbookViewId="0">
      <selection activeCell="E14" sqref="E14"/>
    </sheetView>
  </sheetViews>
  <sheetFormatPr defaultColWidth="8.6640625" defaultRowHeight="14.25" x14ac:dyDescent="0.45"/>
  <cols>
    <col min="1" max="2" width="14" customWidth="1"/>
    <col min="3" max="3" width="34" customWidth="1"/>
    <col min="4" max="5" width="14" customWidth="1"/>
    <col min="6" max="6" width="16" customWidth="1"/>
  </cols>
  <sheetData>
    <row r="1" spans="1:6" x14ac:dyDescent="0.45">
      <c r="A1" s="1" t="s">
        <v>30</v>
      </c>
    </row>
    <row r="2" spans="1:6" x14ac:dyDescent="0.45">
      <c r="A2" s="2" t="s">
        <v>64</v>
      </c>
    </row>
    <row r="3" spans="1:6" x14ac:dyDescent="0.45">
      <c r="A3" s="2" t="s">
        <v>31</v>
      </c>
    </row>
    <row r="5" spans="1:6" ht="21.75" customHeight="1" x14ac:dyDescent="0.45">
      <c r="A5" s="13" t="s">
        <v>32</v>
      </c>
      <c r="B5" s="14" t="s">
        <v>33</v>
      </c>
      <c r="C5" s="14" t="s">
        <v>5</v>
      </c>
      <c r="D5" s="14" t="s">
        <v>34</v>
      </c>
      <c r="E5" s="14" t="s">
        <v>35</v>
      </c>
      <c r="F5" s="15" t="s">
        <v>7</v>
      </c>
    </row>
    <row r="6" spans="1:6" x14ac:dyDescent="0.45">
      <c r="A6" s="20" t="s">
        <v>36</v>
      </c>
      <c r="B6" s="4" t="s">
        <v>37</v>
      </c>
      <c r="C6" s="4" t="s">
        <v>9</v>
      </c>
      <c r="D6" s="5"/>
      <c r="E6" s="5"/>
      <c r="F6" s="11">
        <v>10000</v>
      </c>
    </row>
    <row r="7" spans="1:6" x14ac:dyDescent="0.45">
      <c r="A7" s="21" t="s">
        <v>38</v>
      </c>
      <c r="B7" s="7" t="s">
        <v>39</v>
      </c>
      <c r="C7" s="7" t="s">
        <v>40</v>
      </c>
      <c r="D7" s="8">
        <v>1500</v>
      </c>
      <c r="E7" s="8"/>
      <c r="F7" s="12">
        <f>+F6+Table2[[#This Row],[Debit (€)]]-Table2[[#This Row],[Credit (€)]]</f>
        <v>11500</v>
      </c>
    </row>
    <row r="8" spans="1:6" x14ac:dyDescent="0.45">
      <c r="A8" s="20" t="s">
        <v>41</v>
      </c>
      <c r="B8" s="4" t="s">
        <v>42</v>
      </c>
      <c r="C8" s="4" t="s">
        <v>43</v>
      </c>
      <c r="D8" s="5"/>
      <c r="E8" s="5">
        <v>800</v>
      </c>
      <c r="F8" s="12">
        <f>+F7+Table2[[#This Row],[Debit (€)]]-Table2[[#This Row],[Credit (€)]]</f>
        <v>10700</v>
      </c>
    </row>
    <row r="9" spans="1:6" x14ac:dyDescent="0.45">
      <c r="A9" s="21" t="s">
        <v>44</v>
      </c>
      <c r="B9" s="7" t="s">
        <v>45</v>
      </c>
      <c r="C9" s="7" t="s">
        <v>46</v>
      </c>
      <c r="D9" s="8">
        <v>2200</v>
      </c>
      <c r="E9" s="8"/>
      <c r="F9" s="12">
        <f>+F8+Table2[[#This Row],[Debit (€)]]-Table2[[#This Row],[Credit (€)]]</f>
        <v>12900</v>
      </c>
    </row>
    <row r="10" spans="1:6" x14ac:dyDescent="0.45">
      <c r="A10" s="20" t="s">
        <v>47</v>
      </c>
      <c r="B10" s="4" t="s">
        <v>48</v>
      </c>
      <c r="C10" s="4" t="s">
        <v>49</v>
      </c>
      <c r="D10" s="5"/>
      <c r="E10" s="5">
        <v>450</v>
      </c>
      <c r="F10" s="12">
        <f>+F9+Table2[[#This Row],[Debit (€)]]-Table2[[#This Row],[Credit (€)]]</f>
        <v>12450</v>
      </c>
    </row>
    <row r="11" spans="1:6" x14ac:dyDescent="0.45">
      <c r="A11" s="21" t="s">
        <v>50</v>
      </c>
      <c r="B11" s="7" t="s">
        <v>51</v>
      </c>
      <c r="C11" s="7" t="s">
        <v>20</v>
      </c>
      <c r="D11" s="8"/>
      <c r="E11" s="8">
        <v>35</v>
      </c>
      <c r="F11" s="12">
        <f>+F10+Table2[[#This Row],[Debit (€)]]-Table2[[#This Row],[Credit (€)]]</f>
        <v>12415</v>
      </c>
    </row>
    <row r="12" spans="1:6" x14ac:dyDescent="0.45">
      <c r="A12" s="20" t="s">
        <v>52</v>
      </c>
      <c r="B12" s="4" t="s">
        <v>53</v>
      </c>
      <c r="C12" s="4" t="s">
        <v>54</v>
      </c>
      <c r="D12" s="5">
        <v>3100</v>
      </c>
      <c r="E12" s="5"/>
      <c r="F12" s="12">
        <f>+F11+Table2[[#This Row],[Debit (€)]]-Table2[[#This Row],[Credit (€)]]</f>
        <v>15515</v>
      </c>
    </row>
    <row r="13" spans="1:6" x14ac:dyDescent="0.45">
      <c r="A13" s="21" t="s">
        <v>55</v>
      </c>
      <c r="B13" s="7" t="s">
        <v>56</v>
      </c>
      <c r="C13" s="7" t="s">
        <v>57</v>
      </c>
      <c r="D13" s="8"/>
      <c r="E13" s="26">
        <v>42000</v>
      </c>
      <c r="F13" s="12">
        <f>+F12+Table2[[#This Row],[Debit (€)]]-Table2[[#This Row],[Credit (€)]]</f>
        <v>-26485</v>
      </c>
    </row>
    <row r="14" spans="1:6" x14ac:dyDescent="0.45">
      <c r="A14" s="20" t="s">
        <v>58</v>
      </c>
      <c r="B14" s="4" t="s">
        <v>59</v>
      </c>
      <c r="C14" s="4" t="s">
        <v>60</v>
      </c>
      <c r="D14" s="5">
        <v>980</v>
      </c>
      <c r="E14" s="5"/>
      <c r="F14" s="12">
        <f>+F13+Table2[[#This Row],[Debit (€)]]-Table2[[#This Row],[Credit (€)]]</f>
        <v>-25505</v>
      </c>
    </row>
    <row r="15" spans="1:6" x14ac:dyDescent="0.45">
      <c r="A15" s="21" t="s">
        <v>61</v>
      </c>
      <c r="B15" s="7" t="s">
        <v>62</v>
      </c>
      <c r="C15" s="7" t="s">
        <v>29</v>
      </c>
      <c r="D15" s="8"/>
      <c r="E15" s="8">
        <v>120</v>
      </c>
      <c r="F15" s="12">
        <f>+F14+Table2[[#This Row],[Debit (€)]]-Table2[[#This Row],[Credit (€)]]</f>
        <v>-25625</v>
      </c>
    </row>
    <row r="16" spans="1:6" x14ac:dyDescent="0.45">
      <c r="A16" s="22"/>
      <c r="B16" s="23"/>
      <c r="C16" s="23" t="s">
        <v>63</v>
      </c>
      <c r="D16" s="24">
        <v>8780</v>
      </c>
      <c r="E16" s="24">
        <v>5605</v>
      </c>
      <c r="F16" s="25">
        <f>+F15</f>
        <v>-25625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15"/>
  <sheetViews>
    <sheetView topLeftCell="A4" zoomScaleNormal="100" workbookViewId="0">
      <selection activeCell="G18" sqref="G18"/>
    </sheetView>
  </sheetViews>
  <sheetFormatPr defaultColWidth="8.6640625" defaultRowHeight="14.25" x14ac:dyDescent="0.45"/>
  <cols>
    <col min="1" max="1" width="17.1328125" customWidth="1"/>
    <col min="2" max="2" width="16" customWidth="1"/>
    <col min="3" max="3" width="34" customWidth="1"/>
    <col min="4" max="5" width="16" customWidth="1"/>
  </cols>
  <sheetData>
    <row r="1" spans="1:5" x14ac:dyDescent="0.45">
      <c r="A1" s="1" t="s">
        <v>0</v>
      </c>
    </row>
    <row r="2" spans="1:5" x14ac:dyDescent="0.45">
      <c r="A2" s="2" t="s">
        <v>1</v>
      </c>
    </row>
    <row r="3" spans="1:5" x14ac:dyDescent="0.45">
      <c r="A3" s="2" t="s">
        <v>2</v>
      </c>
    </row>
    <row r="5" spans="1:5" ht="21.75" customHeight="1" x14ac:dyDescent="0.45">
      <c r="A5" s="13" t="s">
        <v>3</v>
      </c>
      <c r="B5" s="14" t="s">
        <v>4</v>
      </c>
      <c r="C5" s="14" t="s">
        <v>5</v>
      </c>
      <c r="D5" s="14" t="s">
        <v>6</v>
      </c>
      <c r="E5" s="15" t="s">
        <v>7</v>
      </c>
    </row>
    <row r="6" spans="1:5" x14ac:dyDescent="0.45">
      <c r="A6" s="9" t="s">
        <v>8</v>
      </c>
      <c r="B6" s="3" t="s">
        <v>8</v>
      </c>
      <c r="C6" s="4" t="s">
        <v>9</v>
      </c>
      <c r="D6" s="5"/>
      <c r="E6" s="11">
        <v>10000</v>
      </c>
    </row>
    <row r="7" spans="1:5" x14ac:dyDescent="0.45">
      <c r="A7" s="10" t="s">
        <v>10</v>
      </c>
      <c r="B7" s="6" t="s">
        <v>10</v>
      </c>
      <c r="C7" s="7" t="s">
        <v>11</v>
      </c>
      <c r="D7" s="26">
        <v>15000</v>
      </c>
      <c r="E7" s="12">
        <f>+E6+Table1[[#This Row],[Amount (€)]]</f>
        <v>25000</v>
      </c>
    </row>
    <row r="8" spans="1:5" x14ac:dyDescent="0.45">
      <c r="A8" s="9" t="s">
        <v>12</v>
      </c>
      <c r="B8" s="3" t="s">
        <v>12</v>
      </c>
      <c r="C8" s="4" t="s">
        <v>13</v>
      </c>
      <c r="D8" s="5">
        <v>-800</v>
      </c>
      <c r="E8" s="12">
        <f>+E7+Table1[[#This Row],[Amount (€)]]</f>
        <v>24200</v>
      </c>
    </row>
    <row r="9" spans="1:5" x14ac:dyDescent="0.45">
      <c r="A9" s="10" t="s">
        <v>14</v>
      </c>
      <c r="B9" s="6" t="s">
        <v>14</v>
      </c>
      <c r="C9" s="7" t="s">
        <v>15</v>
      </c>
      <c r="D9" s="8">
        <v>2200</v>
      </c>
      <c r="E9" s="12">
        <f>+E8+Table1[[#This Row],[Amount (€)]]</f>
        <v>26400</v>
      </c>
    </row>
    <row r="10" spans="1:5" x14ac:dyDescent="0.45">
      <c r="A10" s="9" t="s">
        <v>16</v>
      </c>
      <c r="B10" s="3" t="s">
        <v>16</v>
      </c>
      <c r="C10" s="4" t="s">
        <v>17</v>
      </c>
      <c r="D10" s="5">
        <v>-450</v>
      </c>
      <c r="E10" s="12">
        <f>+E9+Table1[[#This Row],[Amount (€)]]</f>
        <v>25950</v>
      </c>
    </row>
    <row r="11" spans="1:5" x14ac:dyDescent="0.45">
      <c r="A11" s="10" t="s">
        <v>18</v>
      </c>
      <c r="B11" s="6" t="s">
        <v>19</v>
      </c>
      <c r="C11" s="7" t="s">
        <v>20</v>
      </c>
      <c r="D11" s="8">
        <v>-35</v>
      </c>
      <c r="E11" s="12">
        <f>+E10+Table1[[#This Row],[Amount (€)]]</f>
        <v>25915</v>
      </c>
    </row>
    <row r="12" spans="1:5" x14ac:dyDescent="0.45">
      <c r="A12" s="9" t="s">
        <v>21</v>
      </c>
      <c r="B12" s="3" t="s">
        <v>21</v>
      </c>
      <c r="C12" s="4" t="s">
        <v>22</v>
      </c>
      <c r="D12" s="5">
        <v>3100</v>
      </c>
      <c r="E12" s="12">
        <f>+E11+Table1[[#This Row],[Amount (€)]]</f>
        <v>29015</v>
      </c>
    </row>
    <row r="13" spans="1:5" x14ac:dyDescent="0.45">
      <c r="A13" s="10" t="s">
        <v>23</v>
      </c>
      <c r="B13" s="6" t="s">
        <v>23</v>
      </c>
      <c r="C13" s="7" t="s">
        <v>24</v>
      </c>
      <c r="D13" s="8">
        <v>-4200</v>
      </c>
      <c r="E13" s="12">
        <f>+E12+Table1[[#This Row],[Amount (€)]]</f>
        <v>24815</v>
      </c>
    </row>
    <row r="14" spans="1:5" x14ac:dyDescent="0.45">
      <c r="A14" s="9" t="s">
        <v>25</v>
      </c>
      <c r="B14" s="3" t="s">
        <v>26</v>
      </c>
      <c r="C14" s="4" t="s">
        <v>27</v>
      </c>
      <c r="D14" s="5">
        <v>980</v>
      </c>
      <c r="E14" s="12">
        <f>+E13+Table1[[#This Row],[Amount (€)]]</f>
        <v>25795</v>
      </c>
    </row>
    <row r="15" spans="1:5" x14ac:dyDescent="0.45">
      <c r="A15" s="16" t="s">
        <v>28</v>
      </c>
      <c r="B15" s="17" t="s">
        <v>28</v>
      </c>
      <c r="C15" s="18" t="s">
        <v>29</v>
      </c>
      <c r="D15" s="19">
        <v>-120</v>
      </c>
      <c r="E15" s="12">
        <f>+E14+Table1[[#This Row],[Amount (€)]]</f>
        <v>25675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CD640-BE91-4B75-851B-523519292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Entries in GL NOT in Bank</vt:lpstr>
      <vt:lpstr>Entries in Bank NOT in GL</vt:lpstr>
      <vt:lpstr>Bank_reconciliation </vt:lpstr>
      <vt:lpstr>GL — Acc. 572</vt:lpstr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Mariano Jacquet</cp:lastModifiedBy>
  <cp:revision>0</cp:revision>
  <dcterms:created xsi:type="dcterms:W3CDTF">2026-04-28T09:50:43Z</dcterms:created>
  <dcterms:modified xsi:type="dcterms:W3CDTF">2026-04-28T11:06:35Z</dcterms:modified>
  <dc:language>en-US</dc:language>
</cp:coreProperties>
</file>